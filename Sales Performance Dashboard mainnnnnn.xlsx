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AD77AEA-9FAC-4418-9D94-8919B20DA88F}" xr6:coauthVersionLast="36" xr6:coauthVersionMax="36" xr10:uidLastSave="{00000000-0000-0000-0000-000000000000}"/>
  <bookViews>
    <workbookView xWindow="0" yWindow="0" windowWidth="23040" windowHeight="10380" activeTab="1" xr2:uid="{C8D859D5-ED95-49AA-B53C-CAB9540E964F}"/>
  </bookViews>
  <sheets>
    <sheet name="Sheet2" sheetId="2" r:id="rId1"/>
    <sheet name="Sheet6" sheetId="6" r:id="rId2"/>
    <sheet name="Sheet4" sheetId="8" r:id="rId3"/>
    <sheet name="Sheet1" sheetId="1" r:id="rId4"/>
  </sheets>
  <definedNames>
    <definedName name="Slicer_Category">#N/A</definedName>
    <definedName name="Slicer_City1">#N/A</definedName>
    <definedName name="Slicer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K3" i="1"/>
  <c r="K4" i="1"/>
  <c r="K5" i="1"/>
  <c r="K6" i="1"/>
  <c r="K7" i="1"/>
  <c r="K8" i="1"/>
  <c r="K9" i="1"/>
  <c r="J2" i="1"/>
  <c r="J3" i="1"/>
  <c r="J4" i="1"/>
  <c r="J5" i="1"/>
  <c r="J6" i="1"/>
  <c r="J7" i="1"/>
  <c r="J8" i="1"/>
  <c r="J9" i="1"/>
</calcChain>
</file>

<file path=xl/sharedStrings.xml><?xml version="1.0" encoding="utf-8"?>
<sst xmlns="http://schemas.openxmlformats.org/spreadsheetml/2006/main" count="63" uniqueCount="37">
  <si>
    <t>Order Id</t>
  </si>
  <si>
    <t>Order Date</t>
  </si>
  <si>
    <t>City</t>
  </si>
  <si>
    <t>Category</t>
  </si>
  <si>
    <t>Product</t>
  </si>
  <si>
    <t>Sales</t>
  </si>
  <si>
    <t>Quantity</t>
  </si>
  <si>
    <t>Discount</t>
  </si>
  <si>
    <t>Cost</t>
  </si>
  <si>
    <t>Delhi</t>
  </si>
  <si>
    <t>Electronics</t>
  </si>
  <si>
    <t>Headphones</t>
  </si>
  <si>
    <t>Mumbai</t>
  </si>
  <si>
    <t>Bangalore</t>
  </si>
  <si>
    <t>Clothing</t>
  </si>
  <si>
    <t>Furniture</t>
  </si>
  <si>
    <t>T-shirt</t>
  </si>
  <si>
    <t>Mouse</t>
  </si>
  <si>
    <t>Chair</t>
  </si>
  <si>
    <t>Jeans</t>
  </si>
  <si>
    <t>Keyboard</t>
  </si>
  <si>
    <t>Table</t>
  </si>
  <si>
    <t>Jacket</t>
  </si>
  <si>
    <t>Profit</t>
  </si>
  <si>
    <t>Discount2</t>
  </si>
  <si>
    <t>Row Labels</t>
  </si>
  <si>
    <t>Grand Total</t>
  </si>
  <si>
    <t>Sum of Sales</t>
  </si>
  <si>
    <t>Sum of Profit</t>
  </si>
  <si>
    <t>Jan</t>
  </si>
  <si>
    <t>Sales Performance Dashboard</t>
  </si>
  <si>
    <t>-</t>
  </si>
  <si>
    <t xml:space="preserve"> </t>
  </si>
  <si>
    <t>Insights &amp; Analysis Report</t>
  </si>
  <si>
    <t xml:space="preserve">  </t>
  </si>
  <si>
    <t>Count of Order Id</t>
  </si>
  <si>
    <t>Insight : Bangalore leads in sales , while Furniture category contributes highest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</si>
</sst>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00"/>
    <numFmt numFmtId="165" formatCode="_ [$₹-439]* #,##0.00_ ;_ [$₹-439]* \-#,##0.00_ ;_ [$₹-439]* &quot;-&quot;??_ ;_ @_ "/>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sz val="18"/>
      <color theme="1"/>
      <name val="Calibri"/>
      <family val="2"/>
      <scheme val="minor"/>
    </font>
    <font>
      <b/>
      <sz val="14"/>
      <color theme="4" tint="-0.499984740745262"/>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Alignment="1">
      <alignment horizontal="center"/>
    </xf>
    <xf numFmtId="0" fontId="0" fillId="0" borderId="1" xfId="0" applyBorder="1" applyAlignment="1">
      <alignment horizontal="center"/>
    </xf>
    <xf numFmtId="16"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0" borderId="7" xfId="0" applyBorder="1" applyAlignment="1">
      <alignment horizontal="center"/>
    </xf>
    <xf numFmtId="16"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9" fontId="2" fillId="0" borderId="5" xfId="1" applyFont="1" applyBorder="1" applyAlignment="1">
      <alignment horizontal="center"/>
    </xf>
    <xf numFmtId="9" fontId="0" fillId="0" borderId="1" xfId="1" applyFont="1" applyBorder="1" applyAlignment="1">
      <alignment horizontal="center"/>
    </xf>
    <xf numFmtId="9" fontId="0" fillId="0" borderId="8" xfId="1" applyFont="1" applyBorder="1" applyAlignment="1">
      <alignment horizontal="center"/>
    </xf>
    <xf numFmtId="9" fontId="0" fillId="0" borderId="0" xfId="1" applyFont="1"/>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xf numFmtId="0" fontId="6" fillId="0" borderId="0" xfId="0" applyFont="1"/>
    <xf numFmtId="164" fontId="0" fillId="0" borderId="0" xfId="0" applyNumberFormat="1"/>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7" fillId="0" borderId="0" xfId="0" applyFont="1" applyAlignment="1">
      <alignment horizontal="center"/>
    </xf>
    <xf numFmtId="0" fontId="4" fillId="2" borderId="0" xfId="0"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2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1" formatCode="d\-mm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39]* #,##0.00_ ;_ [$₹-439]* \-#,##0.00_ ;_ [$₹-439]* &quot;-&quot;??_ ;_ @_ "/>
    </dxf>
    <dxf>
      <numFmt numFmtId="165" formatCode="_ [$₹-439]* #,##0.00_ ;_ [$₹-439]* \-#,##0.00_ ;_ [$₹-439]*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mainnnnnn.xlsx]Sheet2!PivotTable1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City</a:t>
            </a:r>
          </a:p>
        </c:rich>
      </c:tx>
      <c:layout>
        <c:manualLayout>
          <c:xMode val="edge"/>
          <c:yMode val="edge"/>
          <c:x val="0.37719260966731488"/>
          <c:y val="8.86062649031616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Sheet2!$C$3:$C$4</c:f>
              <c:strCache>
                <c:ptCount val="1"/>
                <c:pt idx="0">
                  <c:v>Bangalore</c:v>
                </c:pt>
              </c:strCache>
            </c:strRef>
          </c:cat>
          <c:val>
            <c:numRef>
              <c:f>Sheet2!$D$3:$D$4</c:f>
              <c:numCache>
                <c:formatCode>General</c:formatCode>
                <c:ptCount val="1"/>
                <c:pt idx="0">
                  <c:v>3000</c:v>
                </c:pt>
              </c:numCache>
            </c:numRef>
          </c:val>
          <c:extLst>
            <c:ext xmlns:c16="http://schemas.microsoft.com/office/drawing/2014/chart" uri="{C3380CC4-5D6E-409C-BE32-E72D297353CC}">
              <c16:uniqueId val="{00000000-8945-4AC3-99A2-C46B3B30DE6F}"/>
            </c:ext>
          </c:extLst>
        </c:ser>
        <c:dLbls>
          <c:dLblPos val="outEnd"/>
          <c:showLegendKey val="0"/>
          <c:showVal val="1"/>
          <c:showCatName val="0"/>
          <c:showSerName val="0"/>
          <c:showPercent val="0"/>
          <c:showBubbleSize val="0"/>
        </c:dLbls>
        <c:gapWidth val="219"/>
        <c:overlap val="-27"/>
        <c:axId val="1470664432"/>
        <c:axId val="1764782144"/>
      </c:barChart>
      <c:catAx>
        <c:axId val="147066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layout>
            <c:manualLayout>
              <c:xMode val="edge"/>
              <c:yMode val="edge"/>
              <c:x val="0.47428472482606343"/>
              <c:y val="0.784265186276175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782144"/>
        <c:crosses val="autoZero"/>
        <c:auto val="1"/>
        <c:lblAlgn val="ctr"/>
        <c:lblOffset val="100"/>
        <c:noMultiLvlLbl val="0"/>
      </c:catAx>
      <c:valAx>
        <c:axId val="176478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6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mainnnnnn.xlsx]Sheet2!PivotTable2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Profit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Sheet2!$D$9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DA-42BA-895F-5836BD5AE5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DA-42BA-895F-5836BD5AE5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DA-42BA-895F-5836BD5AE5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Sheet2!$C$10:$C$11</c:f>
              <c:strCache>
                <c:ptCount val="1"/>
                <c:pt idx="0">
                  <c:v>Furniture</c:v>
                </c:pt>
              </c:strCache>
            </c:strRef>
          </c:cat>
          <c:val>
            <c:numRef>
              <c:f>Sheet2!$D$10:$D$11</c:f>
              <c:numCache>
                <c:formatCode>General</c:formatCode>
                <c:ptCount val="1"/>
                <c:pt idx="0">
                  <c:v>1200</c:v>
                </c:pt>
              </c:numCache>
            </c:numRef>
          </c:val>
          <c:extLst>
            <c:ext xmlns:c16="http://schemas.microsoft.com/office/drawing/2014/chart" uri="{C3380CC4-5D6E-409C-BE32-E72D297353CC}">
              <c16:uniqueId val="{00000006-DADA-42BA-895F-5836BD5AE5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mainnnnnn.xlsx]Sheet2!PivotTable3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layout>
        <c:manualLayout>
          <c:xMode val="edge"/>
          <c:yMode val="edge"/>
          <c:x val="0.30816747809373568"/>
          <c:y val="0.1074386175865947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Sheet2!$C$17:$C$18</c:f>
              <c:strCache>
                <c:ptCount val="1"/>
                <c:pt idx="0">
                  <c:v>Jan</c:v>
                </c:pt>
              </c:strCache>
            </c:strRef>
          </c:cat>
          <c:val>
            <c:numRef>
              <c:f>Sheet2!$D$17:$D$18</c:f>
              <c:numCache>
                <c:formatCode>General</c:formatCode>
                <c:ptCount val="1"/>
                <c:pt idx="0">
                  <c:v>3000</c:v>
                </c:pt>
              </c:numCache>
            </c:numRef>
          </c:val>
          <c:smooth val="0"/>
          <c:extLst>
            <c:ext xmlns:c16="http://schemas.microsoft.com/office/drawing/2014/chart" uri="{C3380CC4-5D6E-409C-BE32-E72D297353CC}">
              <c16:uniqueId val="{00000000-CCEA-4E30-AD7B-5BE43CF55644}"/>
            </c:ext>
          </c:extLst>
        </c:ser>
        <c:dLbls>
          <c:dLblPos val="t"/>
          <c:showLegendKey val="0"/>
          <c:showVal val="1"/>
          <c:showCatName val="0"/>
          <c:showSerName val="0"/>
          <c:showPercent val="0"/>
          <c:showBubbleSize val="0"/>
        </c:dLbls>
        <c:marker val="1"/>
        <c:smooth val="0"/>
        <c:axId val="1512967488"/>
        <c:axId val="1767839776"/>
      </c:lineChart>
      <c:catAx>
        <c:axId val="151296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layout>
            <c:manualLayout>
              <c:xMode val="edge"/>
              <c:yMode val="edge"/>
              <c:x val="0.42686286738910112"/>
              <c:y val="0.802250797786967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39776"/>
        <c:crosses val="autoZero"/>
        <c:auto val="1"/>
        <c:lblAlgn val="ctr"/>
        <c:lblOffset val="100"/>
        <c:noMultiLvlLbl val="0"/>
      </c:catAx>
      <c:valAx>
        <c:axId val="176783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9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mainnnnnn.xlsx]Sheet2!PivotTable4</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Products</a:t>
            </a:r>
            <a:endParaRPr lang="en-US" b="1"/>
          </a:p>
        </c:rich>
      </c:tx>
      <c:layout>
        <c:manualLayout>
          <c:xMode val="edge"/>
          <c:yMode val="edge"/>
          <c:x val="0.40827077865266836"/>
          <c:y val="0.1100904053659959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Sheet2!$C$23:$C$24</c:f>
              <c:strCache>
                <c:ptCount val="1"/>
                <c:pt idx="0">
                  <c:v>Chair</c:v>
                </c:pt>
              </c:strCache>
            </c:strRef>
          </c:cat>
          <c:val>
            <c:numRef>
              <c:f>Sheet2!$D$23:$D$24</c:f>
              <c:numCache>
                <c:formatCode>General</c:formatCode>
                <c:ptCount val="1"/>
                <c:pt idx="0">
                  <c:v>3000</c:v>
                </c:pt>
              </c:numCache>
            </c:numRef>
          </c:val>
          <c:extLst>
            <c:ext xmlns:c16="http://schemas.microsoft.com/office/drawing/2014/chart" uri="{C3380CC4-5D6E-409C-BE32-E72D297353CC}">
              <c16:uniqueId val="{00000000-8517-48AC-A737-C453C6FB7714}"/>
            </c:ext>
          </c:extLst>
        </c:ser>
        <c:dLbls>
          <c:dLblPos val="outEnd"/>
          <c:showLegendKey val="0"/>
          <c:showVal val="1"/>
          <c:showCatName val="0"/>
          <c:showSerName val="0"/>
          <c:showPercent val="0"/>
          <c:showBubbleSize val="0"/>
        </c:dLbls>
        <c:gapWidth val="182"/>
        <c:axId val="1476426240"/>
        <c:axId val="1710840032"/>
      </c:barChart>
      <c:catAx>
        <c:axId val="1476426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40032"/>
        <c:crosses val="autoZero"/>
        <c:auto val="1"/>
        <c:lblAlgn val="ctr"/>
        <c:lblOffset val="100"/>
        <c:noMultiLvlLbl val="0"/>
      </c:catAx>
      <c:valAx>
        <c:axId val="171084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4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128016</xdr:colOff>
      <xdr:row>10</xdr:row>
      <xdr:rowOff>0</xdr:rowOff>
    </xdr:from>
    <xdr:to>
      <xdr:col>8</xdr:col>
      <xdr:colOff>0</xdr:colOff>
      <xdr:row>19</xdr:row>
      <xdr:rowOff>173736</xdr:rowOff>
    </xdr:to>
    <xdr:graphicFrame macro="">
      <xdr:nvGraphicFramePr>
        <xdr:cNvPr id="2" name="Chart 1">
          <a:extLst>
            <a:ext uri="{FF2B5EF4-FFF2-40B4-BE49-F238E27FC236}">
              <a16:creationId xmlns:a16="http://schemas.microsoft.com/office/drawing/2014/main" id="{D0E8AD6F-606B-44D6-8673-BC7301B96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10</xdr:row>
      <xdr:rowOff>15240</xdr:rowOff>
    </xdr:from>
    <xdr:to>
      <xdr:col>14</xdr:col>
      <xdr:colOff>0</xdr:colOff>
      <xdr:row>20</xdr:row>
      <xdr:rowOff>7620</xdr:rowOff>
    </xdr:to>
    <xdr:graphicFrame macro="">
      <xdr:nvGraphicFramePr>
        <xdr:cNvPr id="3" name="Chart 2">
          <a:extLst>
            <a:ext uri="{FF2B5EF4-FFF2-40B4-BE49-F238E27FC236}">
              <a16:creationId xmlns:a16="http://schemas.microsoft.com/office/drawing/2014/main" id="{2B88975A-AF51-4541-A5C3-1547C4964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137160</xdr:colOff>
      <xdr:row>20</xdr:row>
      <xdr:rowOff>91440</xdr:rowOff>
    </xdr:from>
    <xdr:to>
      <xdr:col>14</xdr:col>
      <xdr:colOff>0</xdr:colOff>
      <xdr:row>30</xdr:row>
      <xdr:rowOff>91440</xdr:rowOff>
    </xdr:to>
    <xdr:graphicFrame macro="">
      <xdr:nvGraphicFramePr>
        <xdr:cNvPr id="4" name="Chart 3">
          <a:extLst>
            <a:ext uri="{FF2B5EF4-FFF2-40B4-BE49-F238E27FC236}">
              <a16:creationId xmlns:a16="http://schemas.microsoft.com/office/drawing/2014/main" id="{17010ACA-6B61-4F58-8A30-2DC0F41DA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10</xdr:row>
      <xdr:rowOff>0</xdr:rowOff>
    </xdr:from>
    <xdr:to>
      <xdr:col>17</xdr:col>
      <xdr:colOff>571500</xdr:colOff>
      <xdr:row>16</xdr:row>
      <xdr:rowOff>144780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8C39787-5021-4BD0-B975-CA4921024EC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59240" y="2057400"/>
              <a:ext cx="179070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10</xdr:row>
      <xdr:rowOff>0</xdr:rowOff>
    </xdr:from>
    <xdr:to>
      <xdr:col>20</xdr:col>
      <xdr:colOff>573024</xdr:colOff>
      <xdr:row>16</xdr:row>
      <xdr:rowOff>146304</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24575B6D-E85B-4122-9126-84FC8C3BDE5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88040" y="2057400"/>
              <a:ext cx="1792224" cy="1289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17</xdr:row>
      <xdr:rowOff>0</xdr:rowOff>
    </xdr:from>
    <xdr:to>
      <xdr:col>20</xdr:col>
      <xdr:colOff>563880</xdr:colOff>
      <xdr:row>25</xdr:row>
      <xdr:rowOff>0</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F1C30B1C-FB01-49D5-B852-2B0811FB7A7E}"/>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9159240" y="3383280"/>
              <a:ext cx="36118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396240</xdr:colOff>
      <xdr:row>7</xdr:row>
      <xdr:rowOff>53340</xdr:rowOff>
    </xdr:from>
    <xdr:to>
      <xdr:col>18</xdr:col>
      <xdr:colOff>152400</xdr:colOff>
      <xdr:row>9</xdr:row>
      <xdr:rowOff>53340</xdr:rowOff>
    </xdr:to>
    <xdr:sp macro="" textlink="Sheet4!C4">
      <xdr:nvSpPr>
        <xdr:cNvPr id="15" name="Rectangle 14">
          <a:extLst>
            <a:ext uri="{FF2B5EF4-FFF2-40B4-BE49-F238E27FC236}">
              <a16:creationId xmlns:a16="http://schemas.microsoft.com/office/drawing/2014/main" id="{CE32091D-137F-4B8A-8A6E-A575495FF475}"/>
            </a:ext>
          </a:extLst>
        </xdr:cNvPr>
        <xdr:cNvSpPr/>
      </xdr:nvSpPr>
      <xdr:spPr>
        <a:xfrm>
          <a:off x="10774680" y="1516380"/>
          <a:ext cx="365760" cy="36576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CD5991A-714C-4F91-B2BB-CF6AAF6887AD}" type="TxLink">
            <a:rPr lang="en-US" sz="2000" b="1" i="0" u="none" strike="noStrike">
              <a:solidFill>
                <a:srgbClr val="000000"/>
              </a:solidFill>
              <a:latin typeface="Calibri"/>
              <a:ea typeface="Calibri"/>
              <a:cs typeface="Calibri"/>
            </a:rPr>
            <a:pPr algn="ctr"/>
            <a:t>8</a:t>
          </a:fld>
          <a:endParaRPr lang="en-US" sz="2000" b="1"/>
        </a:p>
      </xdr:txBody>
    </xdr:sp>
    <xdr:clientData/>
  </xdr:twoCellAnchor>
  <xdr:twoCellAnchor>
    <xdr:from>
      <xdr:col>9</xdr:col>
      <xdr:colOff>0</xdr:colOff>
      <xdr:row>2</xdr:row>
      <xdr:rowOff>0</xdr:rowOff>
    </xdr:from>
    <xdr:to>
      <xdr:col>14</xdr:col>
      <xdr:colOff>0</xdr:colOff>
      <xdr:row>4</xdr:row>
      <xdr:rowOff>0</xdr:rowOff>
    </xdr:to>
    <xdr:sp macro="" textlink="">
      <xdr:nvSpPr>
        <xdr:cNvPr id="17" name="TextBox 16">
          <a:extLst>
            <a:ext uri="{FF2B5EF4-FFF2-40B4-BE49-F238E27FC236}">
              <a16:creationId xmlns:a16="http://schemas.microsoft.com/office/drawing/2014/main" id="{9EE6E887-EF67-4386-A4C2-F8FB154752D2}"/>
            </a:ext>
          </a:extLst>
        </xdr:cNvPr>
        <xdr:cNvSpPr txBox="1"/>
      </xdr:nvSpPr>
      <xdr:spPr>
        <a:xfrm>
          <a:off x="5486400" y="548640"/>
          <a:ext cx="3063240" cy="36576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Insights &amp;</a:t>
          </a:r>
          <a:r>
            <a:rPr lang="en-US" sz="1400" b="1" baseline="0"/>
            <a:t> Analysis Report</a:t>
          </a:r>
          <a:endParaRPr lang="en-US" sz="1400" b="1"/>
        </a:p>
      </xdr:txBody>
    </xdr:sp>
    <xdr:clientData/>
  </xdr:twoCellAnchor>
  <xdr:twoCellAnchor>
    <xdr:from>
      <xdr:col>2</xdr:col>
      <xdr:colOff>152400</xdr:colOff>
      <xdr:row>20</xdr:row>
      <xdr:rowOff>83820</xdr:rowOff>
    </xdr:from>
    <xdr:to>
      <xdr:col>9</xdr:col>
      <xdr:colOff>0</xdr:colOff>
      <xdr:row>30</xdr:row>
      <xdr:rowOff>83820</xdr:rowOff>
    </xdr:to>
    <xdr:graphicFrame macro="">
      <xdr:nvGraphicFramePr>
        <xdr:cNvPr id="18" name="Chart 17">
          <a:extLst>
            <a:ext uri="{FF2B5EF4-FFF2-40B4-BE49-F238E27FC236}">
              <a16:creationId xmlns:a16="http://schemas.microsoft.com/office/drawing/2014/main" id="{BC911DB4-E462-4CD6-B597-DF19AFC2C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20</xdr:col>
      <xdr:colOff>0</xdr:colOff>
      <xdr:row>6</xdr:row>
      <xdr:rowOff>0</xdr:rowOff>
    </xdr:from>
    <xdr:ext cx="184731" cy="264560"/>
    <xdr:sp macro="" textlink="">
      <xdr:nvSpPr>
        <xdr:cNvPr id="20" name="TextBox 19">
          <a:extLst>
            <a:ext uri="{FF2B5EF4-FFF2-40B4-BE49-F238E27FC236}">
              <a16:creationId xmlns:a16="http://schemas.microsoft.com/office/drawing/2014/main" id="{E7CE62CA-1888-4C0F-B046-214CA88CD9AE}"/>
            </a:ext>
          </a:extLst>
        </xdr:cNvPr>
        <xdr:cNvSpPr txBox="1"/>
      </xdr:nvSpPr>
      <xdr:spPr>
        <a:xfrm>
          <a:off x="12207240" y="1280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518160</xdr:colOff>
      <xdr:row>7</xdr:row>
      <xdr:rowOff>15240</xdr:rowOff>
    </xdr:from>
    <xdr:to>
      <xdr:col>6</xdr:col>
      <xdr:colOff>190500</xdr:colOff>
      <xdr:row>9</xdr:row>
      <xdr:rowOff>7620</xdr:rowOff>
    </xdr:to>
    <xdr:sp macro="" textlink="Sheet4!A4">
      <xdr:nvSpPr>
        <xdr:cNvPr id="9" name="Rectangle 8">
          <a:extLst>
            <a:ext uri="{FF2B5EF4-FFF2-40B4-BE49-F238E27FC236}">
              <a16:creationId xmlns:a16="http://schemas.microsoft.com/office/drawing/2014/main" id="{4EDAAAC9-46AF-4B4F-A78C-04106B46820E}"/>
            </a:ext>
          </a:extLst>
        </xdr:cNvPr>
        <xdr:cNvSpPr/>
      </xdr:nvSpPr>
      <xdr:spPr>
        <a:xfrm>
          <a:off x="2346960" y="1524000"/>
          <a:ext cx="1501140" cy="35814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F0229B4-11E1-4DED-964A-D27FC9F11097}" type="TxLink">
            <a:rPr lang="en-US" sz="2000" b="1" i="0" u="none" strike="noStrike">
              <a:solidFill>
                <a:srgbClr val="000000"/>
              </a:solidFill>
              <a:latin typeface="Calibri"/>
              <a:ea typeface="Calibri"/>
              <a:cs typeface="Calibri"/>
            </a:rPr>
            <a:pPr algn="l"/>
            <a:t> ₹16,500.00 </a:t>
          </a:fld>
          <a:endParaRPr lang="en-US" sz="2000" b="1"/>
        </a:p>
      </xdr:txBody>
    </xdr:sp>
    <xdr:clientData/>
  </xdr:twoCellAnchor>
  <xdr:twoCellAnchor>
    <xdr:from>
      <xdr:col>10</xdr:col>
      <xdr:colOff>30480</xdr:colOff>
      <xdr:row>7</xdr:row>
      <xdr:rowOff>30480</xdr:rowOff>
    </xdr:from>
    <xdr:to>
      <xdr:col>12</xdr:col>
      <xdr:colOff>106680</xdr:colOff>
      <xdr:row>9</xdr:row>
      <xdr:rowOff>45720</xdr:rowOff>
    </xdr:to>
    <xdr:sp macro="" textlink="Sheet4!B4">
      <xdr:nvSpPr>
        <xdr:cNvPr id="10" name="Rectangle 9">
          <a:extLst>
            <a:ext uri="{FF2B5EF4-FFF2-40B4-BE49-F238E27FC236}">
              <a16:creationId xmlns:a16="http://schemas.microsoft.com/office/drawing/2014/main" id="{71E3BBCF-4CE6-4498-B211-D4746FB8A79B}"/>
            </a:ext>
          </a:extLst>
        </xdr:cNvPr>
        <xdr:cNvSpPr/>
      </xdr:nvSpPr>
      <xdr:spPr>
        <a:xfrm>
          <a:off x="6126480" y="1493520"/>
          <a:ext cx="1310640" cy="3810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9EEB59D-9ED9-411F-AB36-106A252C2FDC}" type="TxLink">
            <a:rPr lang="en-US" sz="2000" b="1" i="0" u="none" strike="noStrike">
              <a:solidFill>
                <a:srgbClr val="000000"/>
              </a:solidFill>
              <a:latin typeface="Calibri"/>
              <a:ea typeface="Calibri"/>
              <a:cs typeface="Calibri"/>
            </a:rPr>
            <a:pPr algn="l"/>
            <a:t> ₹6,800.00 </a:t>
          </a:fld>
          <a:endParaRPr lang="en-US" sz="2000" b="1"/>
        </a:p>
      </xdr:txBody>
    </xdr:sp>
    <xdr:clientData/>
  </xdr:twoCellAnchor>
  <xdr:twoCellAnchor>
    <xdr:from>
      <xdr:col>4</xdr:col>
      <xdr:colOff>99060</xdr:colOff>
      <xdr:row>5</xdr:row>
      <xdr:rowOff>45720</xdr:rowOff>
    </xdr:from>
    <xdr:to>
      <xdr:col>5</xdr:col>
      <xdr:colOff>548640</xdr:colOff>
      <xdr:row>6</xdr:row>
      <xdr:rowOff>76200</xdr:rowOff>
    </xdr:to>
    <xdr:sp macro="" textlink="">
      <xdr:nvSpPr>
        <xdr:cNvPr id="11" name="Rectangle 10">
          <a:extLst>
            <a:ext uri="{FF2B5EF4-FFF2-40B4-BE49-F238E27FC236}">
              <a16:creationId xmlns:a16="http://schemas.microsoft.com/office/drawing/2014/main" id="{7A64A289-8AD9-4472-BF82-AF597D08DE3D}"/>
            </a:ext>
          </a:extLst>
        </xdr:cNvPr>
        <xdr:cNvSpPr/>
      </xdr:nvSpPr>
      <xdr:spPr>
        <a:xfrm>
          <a:off x="2537460" y="1143000"/>
          <a:ext cx="1059180" cy="25908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Total Sales</a:t>
          </a:r>
        </a:p>
      </xdr:txBody>
    </xdr:sp>
    <xdr:clientData/>
  </xdr:twoCellAnchor>
  <xdr:twoCellAnchor>
    <xdr:from>
      <xdr:col>10</xdr:col>
      <xdr:colOff>175260</xdr:colOff>
      <xdr:row>5</xdr:row>
      <xdr:rowOff>99060</xdr:rowOff>
    </xdr:from>
    <xdr:to>
      <xdr:col>12</xdr:col>
      <xdr:colOff>7620</xdr:colOff>
      <xdr:row>6</xdr:row>
      <xdr:rowOff>106680</xdr:rowOff>
    </xdr:to>
    <xdr:sp macro="" textlink="">
      <xdr:nvSpPr>
        <xdr:cNvPr id="12" name="Rectangle 11">
          <a:extLst>
            <a:ext uri="{FF2B5EF4-FFF2-40B4-BE49-F238E27FC236}">
              <a16:creationId xmlns:a16="http://schemas.microsoft.com/office/drawing/2014/main" id="{A6293FEC-B996-456C-9790-8DBAF1C0C12A}"/>
            </a:ext>
          </a:extLst>
        </xdr:cNvPr>
        <xdr:cNvSpPr/>
      </xdr:nvSpPr>
      <xdr:spPr>
        <a:xfrm>
          <a:off x="6271260" y="1196340"/>
          <a:ext cx="1066800" cy="1905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Profit</a:t>
          </a:r>
        </a:p>
      </xdr:txBody>
    </xdr:sp>
    <xdr:clientData/>
  </xdr:twoCellAnchor>
  <xdr:twoCellAnchor>
    <xdr:from>
      <xdr:col>16</xdr:col>
      <xdr:colOff>403860</xdr:colOff>
      <xdr:row>5</xdr:row>
      <xdr:rowOff>129540</xdr:rowOff>
    </xdr:from>
    <xdr:to>
      <xdr:col>19</xdr:col>
      <xdr:colOff>76200</xdr:colOff>
      <xdr:row>6</xdr:row>
      <xdr:rowOff>137160</xdr:rowOff>
    </xdr:to>
    <xdr:sp macro="" textlink="">
      <xdr:nvSpPr>
        <xdr:cNvPr id="13" name="Rectangle 12">
          <a:extLst>
            <a:ext uri="{FF2B5EF4-FFF2-40B4-BE49-F238E27FC236}">
              <a16:creationId xmlns:a16="http://schemas.microsoft.com/office/drawing/2014/main" id="{1CE1B4D2-7489-4370-9CA8-31C3F06725EA}"/>
            </a:ext>
          </a:extLst>
        </xdr:cNvPr>
        <xdr:cNvSpPr/>
      </xdr:nvSpPr>
      <xdr:spPr>
        <a:xfrm>
          <a:off x="10172700" y="1226820"/>
          <a:ext cx="1501140" cy="19050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Total Orders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0.416271527778" createdVersion="6" refreshedVersion="6" minRefreshableVersion="3" recordCount="8" xr:uid="{CB00116A-AC13-45D4-81BE-B490DC501D89}">
  <cacheSource type="worksheet">
    <worksheetSource name="Sales_Data"/>
  </cacheSource>
  <cacheFields count="12">
    <cacheField name="Order Id" numFmtId="0">
      <sharedItems containsSemiMixedTypes="0" containsString="0" containsNumber="1" containsInteger="1" minValue="1001" maxValue="1008" count="8">
        <n v="1001"/>
        <n v="1002"/>
        <n v="1003"/>
        <n v="1004"/>
        <n v="1005"/>
        <n v="1006"/>
        <n v="1007"/>
        <n v="1008"/>
      </sharedItems>
    </cacheField>
    <cacheField name="Order Date" numFmtId="16">
      <sharedItems containsSemiMixedTypes="0" containsNonDate="0" containsDate="1" containsString="0" minDate="2026-01-01T00:00:00" maxDate="2026-02-11T00:00:00" count="8">
        <d v="2026-01-01T00:00:00"/>
        <d v="2026-01-05T00:00:00"/>
        <d v="2026-01-10T00:00:00"/>
        <d v="2026-01-15T00:00:00"/>
        <d v="2026-01-20T00:00:00"/>
        <d v="2026-02-01T00:00:00"/>
        <d v="2026-02-05T00:00:00"/>
        <d v="2026-02-10T00:00:00"/>
      </sharedItems>
      <fieldGroup par="11" base="1">
        <rangePr groupBy="days" startDate="2026-01-01T00:00:00" endDate="2026-02-1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1/2026"/>
        </groupItems>
      </fieldGroup>
    </cacheField>
    <cacheField name="City" numFmtId="0">
      <sharedItems count="3">
        <s v="Delhi"/>
        <s v="Mumbai"/>
        <s v="Bangalore"/>
      </sharedItems>
    </cacheField>
    <cacheField name="Category" numFmtId="0">
      <sharedItems count="3">
        <s v="Electronics"/>
        <s v="Clothing"/>
        <s v="Furniture"/>
      </sharedItems>
    </cacheField>
    <cacheField name="Product" numFmtId="0">
      <sharedItems count="8">
        <s v="Headphones"/>
        <s v="T-shirt"/>
        <s v="Mouse"/>
        <s v="Chair"/>
        <s v="Jeans"/>
        <s v="Keyboard"/>
        <s v="Table"/>
        <s v="Jacket"/>
      </sharedItems>
    </cacheField>
    <cacheField name="Sales" numFmtId="0">
      <sharedItems containsSemiMixedTypes="0" containsString="0" containsNumber="1" containsInteger="1" minValue="500" maxValue="5000" count="8">
        <n v="2000"/>
        <n v="800"/>
        <n v="500"/>
        <n v="3000"/>
        <n v="1500"/>
        <n v="1200"/>
        <n v="5000"/>
        <n v="2500"/>
      </sharedItems>
    </cacheField>
    <cacheField name="Quantity" numFmtId="0">
      <sharedItems containsSemiMixedTypes="0" containsString="0" containsNumber="1" containsInteger="1" minValue="1" maxValue="3"/>
    </cacheField>
    <cacheField name="Discount" numFmtId="9">
      <sharedItems containsSemiMixedTypes="0" containsString="0" containsNumber="1" minValue="0.05" maxValue="0.25"/>
    </cacheField>
    <cacheField name="Cost" numFmtId="0">
      <sharedItems containsSemiMixedTypes="0" containsString="0" containsNumber="1" containsInteger="1" minValue="200" maxValue="3000"/>
    </cacheField>
    <cacheField name="Profit" numFmtId="0">
      <sharedItems containsSemiMixedTypes="0" containsString="0" containsNumber="1" containsInteger="1" minValue="300" maxValue="2000" count="8">
        <n v="800"/>
        <n v="400"/>
        <n v="300"/>
        <n v="1200"/>
        <n v="600"/>
        <n v="500"/>
        <n v="2000"/>
        <n v="1000"/>
      </sharedItems>
    </cacheField>
    <cacheField name="Discount2" numFmtId="0">
      <sharedItems/>
    </cacheField>
    <cacheField name="Months" numFmtId="0" databaseField="0">
      <fieldGroup base="1">
        <rangePr groupBy="months" startDate="2026-01-01T00:00:00" endDate="2026-02-11T00:00:00"/>
        <groupItems count="14">
          <s v="&lt;1/1/2026"/>
          <s v="Jan"/>
          <s v="Feb"/>
          <s v="Mar"/>
          <s v="Apr"/>
          <s v="May"/>
          <s v="Jun"/>
          <s v="Jul"/>
          <s v="Aug"/>
          <s v="Sep"/>
          <s v="Oct"/>
          <s v="Nov"/>
          <s v="Dec"/>
          <s v="&gt;2/11/2026"/>
        </groupItems>
      </fieldGroup>
    </cacheField>
  </cacheFields>
  <extLst>
    <ext xmlns:x14="http://schemas.microsoft.com/office/spreadsheetml/2009/9/main" uri="{725AE2AE-9491-48be-B2B4-4EB974FC3084}">
      <x14:pivotCacheDefinition pivotCacheId="948590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x v="0"/>
    <x v="0"/>
    <n v="2"/>
    <n v="0.1"/>
    <n v="1200"/>
    <x v="0"/>
    <s v="Low"/>
  </r>
  <r>
    <x v="1"/>
    <x v="1"/>
    <x v="1"/>
    <x v="1"/>
    <x v="1"/>
    <x v="1"/>
    <n v="3"/>
    <n v="0.05"/>
    <n v="400"/>
    <x v="1"/>
    <s v="Low"/>
  </r>
  <r>
    <x v="2"/>
    <x v="2"/>
    <x v="0"/>
    <x v="0"/>
    <x v="2"/>
    <x v="2"/>
    <n v="2"/>
    <n v="0.15"/>
    <n v="200"/>
    <x v="2"/>
    <s v="High"/>
  </r>
  <r>
    <x v="3"/>
    <x v="3"/>
    <x v="2"/>
    <x v="2"/>
    <x v="3"/>
    <x v="3"/>
    <n v="1"/>
    <n v="0.2"/>
    <n v="1800"/>
    <x v="3"/>
    <s v="High"/>
  </r>
  <r>
    <x v="4"/>
    <x v="4"/>
    <x v="1"/>
    <x v="1"/>
    <x v="4"/>
    <x v="4"/>
    <n v="2"/>
    <n v="0.1"/>
    <n v="900"/>
    <x v="4"/>
    <s v="Low"/>
  </r>
  <r>
    <x v="5"/>
    <x v="5"/>
    <x v="0"/>
    <x v="0"/>
    <x v="5"/>
    <x v="5"/>
    <n v="2"/>
    <n v="0.05"/>
    <n v="700"/>
    <x v="5"/>
    <s v="Low"/>
  </r>
  <r>
    <x v="6"/>
    <x v="6"/>
    <x v="2"/>
    <x v="2"/>
    <x v="6"/>
    <x v="6"/>
    <n v="1"/>
    <n v="0.25"/>
    <n v="3000"/>
    <x v="6"/>
    <s v="High"/>
  </r>
  <r>
    <x v="7"/>
    <x v="7"/>
    <x v="1"/>
    <x v="1"/>
    <x v="7"/>
    <x v="7"/>
    <n v="1"/>
    <n v="0.15"/>
    <n v="1500"/>
    <x v="7"/>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E245DF-9E2C-432D-9560-06363F97802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9:D11" firstHeaderRow="1" firstDataRow="1" firstDataCol="1"/>
  <pivotFields count="12">
    <pivotField showAll="0"/>
    <pivotField numFmtId="16" showAll="0">
      <items count="369">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items count="4">
        <item x="2"/>
        <item x="0"/>
        <item x="1"/>
        <item t="default"/>
      </items>
    </pivotField>
    <pivotField axis="axisRow" showAll="0">
      <items count="4">
        <item x="1"/>
        <item x="0"/>
        <item x="2"/>
        <item t="default"/>
      </items>
    </pivotField>
    <pivotField showAll="0"/>
    <pivotField showAll="0"/>
    <pivotField showAll="0"/>
    <pivotField numFmtId="9"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2">
    <i>
      <x v="2"/>
    </i>
    <i t="grand">
      <x/>
    </i>
  </rowItems>
  <colItems count="1">
    <i/>
  </colItems>
  <dataFields count="1">
    <dataField name="Sum of Profit"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150EF-F785-4B4E-B850-08E078DAFAB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16:D18" firstHeaderRow="1" firstDataRow="1" firstDataCol="1"/>
  <pivotFields count="12">
    <pivotField showAll="0"/>
    <pivotField axis="axisRow" numFmtId="16" showAll="0">
      <items count="369">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items count="4">
        <item x="2"/>
        <item x="0"/>
        <item x="1"/>
        <item t="default"/>
      </items>
    </pivotField>
    <pivotField showAll="0">
      <items count="4">
        <item x="1"/>
        <item x="0"/>
        <item x="2"/>
        <item t="default"/>
      </items>
    </pivotField>
    <pivotField showAll="0"/>
    <pivotField dataField="1" showAll="0"/>
    <pivotField showAll="0"/>
    <pivotField numFmtId="9"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2">
    <i>
      <x v="1"/>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DCEAB-1B92-49B8-B73D-4009BFF7BB9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C22:D24" firstHeaderRow="1" firstDataRow="1" firstDataCol="1"/>
  <pivotFields count="12">
    <pivotField showAll="0"/>
    <pivotField numFmtId="16" showAll="0">
      <items count="369">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items count="4">
        <item x="2"/>
        <item x="0"/>
        <item x="1"/>
        <item t="default"/>
      </items>
    </pivotField>
    <pivotField showAll="0">
      <items count="4">
        <item x="1"/>
        <item x="0"/>
        <item x="2"/>
        <item t="default"/>
      </items>
    </pivotField>
    <pivotField axis="axisRow" showAll="0" sortType="descending">
      <items count="9">
        <item x="3"/>
        <item x="0"/>
        <item x="7"/>
        <item x="4"/>
        <item x="5"/>
        <item x="2"/>
        <item x="6"/>
        <item x="1"/>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pivotField showAll="0"/>
    <pivotField showAll="0" defaultSubtotal="0"/>
  </pivotFields>
  <rowFields count="1">
    <field x="4"/>
  </rowFields>
  <rowItems count="2">
    <i>
      <x/>
    </i>
    <i t="grand">
      <x/>
    </i>
  </rowItems>
  <colItems count="1">
    <i/>
  </colItems>
  <dataFields count="1">
    <dataField name="Sum of Sales" fld="5"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2C35B-3F38-47A3-B439-F7D31EF8ADB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D4" firstHeaderRow="1" firstDataRow="1" firstDataCol="1"/>
  <pivotFields count="12">
    <pivotField showAll="0"/>
    <pivotField numFmtId="16" showAll="0">
      <items count="369">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axis="axisRow" showAll="0">
      <items count="4">
        <item x="2"/>
        <item x="0"/>
        <item x="1"/>
        <item t="default"/>
      </items>
    </pivotField>
    <pivotField showAll="0">
      <items count="4">
        <item x="1"/>
        <item x="0"/>
        <item x="2"/>
        <item t="default"/>
      </items>
    </pivotField>
    <pivotField showAll="0"/>
    <pivotField dataField="1"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1CE38-1A51-42BD-B59D-21099B915A2F}" name="Pivot_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12">
    <pivotField dataField="1" showAll="0">
      <items count="9">
        <item x="0"/>
        <item x="1"/>
        <item x="2"/>
        <item x="3"/>
        <item x="4"/>
        <item x="5"/>
        <item x="6"/>
        <item x="7"/>
        <item t="default"/>
      </items>
    </pivotField>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4">
        <item x="2"/>
        <item x="0"/>
        <item x="1"/>
        <item t="default"/>
      </items>
    </pivotField>
    <pivotField showAll="0">
      <items count="4">
        <item x="1"/>
        <item x="0"/>
        <item x="2"/>
        <item t="default"/>
      </items>
    </pivotField>
    <pivotField showAll="0"/>
    <pivotField dataField="1" showAll="0">
      <items count="9">
        <item x="2"/>
        <item x="1"/>
        <item x="5"/>
        <item x="4"/>
        <item x="0"/>
        <item x="7"/>
        <item x="3"/>
        <item x="6"/>
        <item t="default"/>
      </items>
    </pivotField>
    <pivotField showAll="0"/>
    <pivotField numFmtId="9" showAll="0"/>
    <pivotField showAll="0"/>
    <pivotField dataField="1" showAll="0">
      <items count="9">
        <item x="2"/>
        <item x="1"/>
        <item x="5"/>
        <item x="4"/>
        <item x="0"/>
        <item x="7"/>
        <item x="3"/>
        <item x="6"/>
        <item t="default"/>
      </items>
    </pivotField>
    <pivotField showAll="0"/>
    <pivotField showAll="0" defaultSubtotal="0"/>
  </pivotFields>
  <rowItems count="1">
    <i/>
  </rowItems>
  <colFields count="1">
    <field x="-2"/>
  </colFields>
  <colItems count="3">
    <i>
      <x/>
    </i>
    <i i="1">
      <x v="1"/>
    </i>
    <i i="2">
      <x v="2"/>
    </i>
  </colItems>
  <dataFields count="3">
    <dataField name="Sum of Sales" fld="5" baseField="0" baseItem="0" numFmtId="165"/>
    <dataField name="Sum of Profit" fld="9" baseField="0" baseItem="0" numFmtId="165"/>
    <dataField name="Count of Order Id" fld="0" subtotal="count" baseField="0" baseItem="2"/>
  </dataFields>
  <formats count="7">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0"/>
          </reference>
        </references>
      </pivotArea>
    </format>
    <format dxfId="20">
      <pivotArea dataOnly="0" outline="0" fieldPosition="0">
        <references count="1">
          <reference field="4294967294" count="3">
            <x v="0"/>
            <x v="1"/>
            <x v="2"/>
          </reference>
        </references>
      </pivotArea>
    </format>
    <format dxfId="19">
      <pivotArea dataOnly="0" outline="0" fieldPosition="0">
        <references count="1">
          <reference field="4294967294" count="3">
            <x v="0"/>
            <x v="1"/>
            <x v="2"/>
          </reference>
        </references>
      </pivotArea>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2BD947-A668-4541-997E-668201257C88}" sourceName="Category">
  <pivotTables>
    <pivotTable tabId="2" name="PivotTable1"/>
    <pivotTable tabId="2" name="PivotTable2"/>
    <pivotTable tabId="2" name="PivotTable3"/>
    <pivotTable tabId="2" name="PivotTable4"/>
    <pivotTable tabId="8" name="Pivot_KPI"/>
  </pivotTables>
  <data>
    <tabular pivotCacheId="94859081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356AD75-4757-4B08-A5AA-2A35A50A645D}" sourceName="Order Date">
  <pivotTables>
    <pivotTable tabId="2" name="PivotTable1"/>
    <pivotTable tabId="2" name="PivotTable2"/>
    <pivotTable tabId="2" name="PivotTable3"/>
    <pivotTable tabId="2" name="PivotTable4"/>
  </pivotTables>
  <data>
    <tabular pivotCacheId="948590811">
      <items count="368">
        <i x="41"/>
        <i x="10"/>
        <i x="15" s="1"/>
        <i x="32"/>
        <i x="1"/>
        <i x="20"/>
        <i x="36"/>
        <i x="5"/>
        <i x="0" nd="1"/>
        <i x="367" nd="1"/>
        <i x="101" nd="1"/>
        <i x="223" nd="1"/>
        <i x="345" nd="1"/>
        <i x="192" nd="1"/>
        <i x="162" nd="1"/>
        <i x="70" nd="1"/>
        <i x="131" nd="1"/>
        <i x="315" nd="1"/>
        <i x="284" nd="1"/>
        <i x="254" nd="1"/>
        <i x="102" nd="1"/>
        <i x="224" nd="1"/>
        <i x="346" nd="1"/>
        <i x="42" nd="1"/>
        <i x="11" nd="1"/>
        <i x="193" nd="1"/>
        <i x="163" nd="1"/>
        <i x="71" nd="1"/>
        <i x="132" nd="1"/>
        <i x="316" nd="1"/>
        <i x="285" nd="1"/>
        <i x="255" nd="1"/>
        <i x="103" nd="1"/>
        <i x="225" nd="1"/>
        <i x="347" nd="1"/>
        <i x="43" nd="1"/>
        <i x="12" nd="1"/>
        <i x="194" nd="1"/>
        <i x="164" nd="1"/>
        <i x="72" nd="1"/>
        <i x="133" nd="1"/>
        <i x="317" nd="1"/>
        <i x="286" nd="1"/>
        <i x="256" nd="1"/>
        <i x="104" nd="1"/>
        <i x="226" nd="1"/>
        <i x="348" nd="1"/>
        <i x="44" nd="1"/>
        <i x="13" nd="1"/>
        <i x="195" nd="1"/>
        <i x="165" nd="1"/>
        <i x="73" nd="1"/>
        <i x="134" nd="1"/>
        <i x="318" nd="1"/>
        <i x="287" nd="1"/>
        <i x="257" nd="1"/>
        <i x="105" nd="1"/>
        <i x="227" nd="1"/>
        <i x="349" nd="1"/>
        <i x="45" nd="1"/>
        <i x="14" nd="1"/>
        <i x="196" nd="1"/>
        <i x="166" nd="1"/>
        <i x="74" nd="1"/>
        <i x="135" nd="1"/>
        <i x="319" nd="1"/>
        <i x="288" nd="1"/>
        <i x="258" nd="1"/>
        <i x="106" nd="1"/>
        <i x="228" nd="1"/>
        <i x="350" nd="1"/>
        <i x="46" nd="1"/>
        <i x="197" nd="1"/>
        <i x="167" nd="1"/>
        <i x="75" nd="1"/>
        <i x="136" nd="1"/>
        <i x="320" nd="1"/>
        <i x="289" nd="1"/>
        <i x="259" nd="1"/>
        <i x="107" nd="1"/>
        <i x="229" nd="1"/>
        <i x="351" nd="1"/>
        <i x="47" nd="1"/>
        <i x="16" nd="1"/>
        <i x="198" nd="1"/>
        <i x="168" nd="1"/>
        <i x="76" nd="1"/>
        <i x="137" nd="1"/>
        <i x="321" nd="1"/>
        <i x="290" nd="1"/>
        <i x="260" nd="1"/>
        <i x="108" nd="1"/>
        <i x="230" nd="1"/>
        <i x="352" nd="1"/>
        <i x="48" nd="1"/>
        <i x="17" nd="1"/>
        <i x="199" nd="1"/>
        <i x="169" nd="1"/>
        <i x="77" nd="1"/>
        <i x="138" nd="1"/>
        <i x="322" nd="1"/>
        <i x="291" nd="1"/>
        <i x="261" nd="1"/>
        <i x="109" nd="1"/>
        <i x="231" nd="1"/>
        <i x="353" nd="1"/>
        <i x="49" nd="1"/>
        <i x="18" nd="1"/>
        <i x="200" nd="1"/>
        <i x="170" nd="1"/>
        <i x="78" nd="1"/>
        <i x="139" nd="1"/>
        <i x="323" nd="1"/>
        <i x="292" nd="1"/>
        <i x="262" nd="1"/>
        <i x="110" nd="1"/>
        <i x="232" nd="1"/>
        <i x="354" nd="1"/>
        <i x="50" nd="1"/>
        <i x="19" nd="1"/>
        <i x="201" nd="1"/>
        <i x="171" nd="1"/>
        <i x="79" nd="1"/>
        <i x="140" nd="1"/>
        <i x="324" nd="1"/>
        <i x="293" nd="1"/>
        <i x="263" nd="1"/>
        <i x="92" nd="1"/>
        <i x="214" nd="1"/>
        <i x="336" nd="1"/>
        <i x="183" nd="1"/>
        <i x="153" nd="1"/>
        <i x="61" nd="1"/>
        <i x="122" nd="1"/>
        <i x="306" nd="1"/>
        <i x="275" nd="1"/>
        <i x="245" nd="1"/>
        <i x="111" nd="1"/>
        <i x="233" nd="1"/>
        <i x="355" nd="1"/>
        <i x="51" nd="1"/>
        <i x="202" nd="1"/>
        <i x="172" nd="1"/>
        <i x="80" nd="1"/>
        <i x="141" nd="1"/>
        <i x="325" nd="1"/>
        <i x="294" nd="1"/>
        <i x="264" nd="1"/>
        <i x="112" nd="1"/>
        <i x="234" nd="1"/>
        <i x="356" nd="1"/>
        <i x="52" nd="1"/>
        <i x="21" nd="1"/>
        <i x="203" nd="1"/>
        <i x="173" nd="1"/>
        <i x="81" nd="1"/>
        <i x="142" nd="1"/>
        <i x="326" nd="1"/>
        <i x="295" nd="1"/>
        <i x="265" nd="1"/>
        <i x="113" nd="1"/>
        <i x="235" nd="1"/>
        <i x="357" nd="1"/>
        <i x="53" nd="1"/>
        <i x="22" nd="1"/>
        <i x="204" nd="1"/>
        <i x="174" nd="1"/>
        <i x="82" nd="1"/>
        <i x="143" nd="1"/>
        <i x="327" nd="1"/>
        <i x="296" nd="1"/>
        <i x="266" nd="1"/>
        <i x="114" nd="1"/>
        <i x="236" nd="1"/>
        <i x="358" nd="1"/>
        <i x="54" nd="1"/>
        <i x="23" nd="1"/>
        <i x="205" nd="1"/>
        <i x="175" nd="1"/>
        <i x="83" nd="1"/>
        <i x="144" nd="1"/>
        <i x="328" nd="1"/>
        <i x="297" nd="1"/>
        <i x="267" nd="1"/>
        <i x="115" nd="1"/>
        <i x="237" nd="1"/>
        <i x="359" nd="1"/>
        <i x="55" nd="1"/>
        <i x="24" nd="1"/>
        <i x="206" nd="1"/>
        <i x="176" nd="1"/>
        <i x="84" nd="1"/>
        <i x="145" nd="1"/>
        <i x="329" nd="1"/>
        <i x="298" nd="1"/>
        <i x="268" nd="1"/>
        <i x="116" nd="1"/>
        <i x="238" nd="1"/>
        <i x="360" nd="1"/>
        <i x="56" nd="1"/>
        <i x="25" nd="1"/>
        <i x="207" nd="1"/>
        <i x="177" nd="1"/>
        <i x="85" nd="1"/>
        <i x="146" nd="1"/>
        <i x="330" nd="1"/>
        <i x="299" nd="1"/>
        <i x="269" nd="1"/>
        <i x="117" nd="1"/>
        <i x="239" nd="1"/>
        <i x="361" nd="1"/>
        <i x="57" nd="1"/>
        <i x="26" nd="1"/>
        <i x="208" nd="1"/>
        <i x="178" nd="1"/>
        <i x="86" nd="1"/>
        <i x="147" nd="1"/>
        <i x="331" nd="1"/>
        <i x="300" nd="1"/>
        <i x="270" nd="1"/>
        <i x="118" nd="1"/>
        <i x="240" nd="1"/>
        <i x="362" nd="1"/>
        <i x="58" nd="1"/>
        <i x="27" nd="1"/>
        <i x="209" nd="1"/>
        <i x="179" nd="1"/>
        <i x="87" nd="1"/>
        <i x="148" nd="1"/>
        <i x="332" nd="1"/>
        <i x="301" nd="1"/>
        <i x="271" nd="1"/>
        <i x="119" nd="1"/>
        <i x="241" nd="1"/>
        <i x="363" nd="1"/>
        <i x="59" nd="1"/>
        <i x="28" nd="1"/>
        <i x="210" nd="1"/>
        <i x="180" nd="1"/>
        <i x="88" nd="1"/>
        <i x="149" nd="1"/>
        <i x="333" nd="1"/>
        <i x="302" nd="1"/>
        <i x="272" nd="1"/>
        <i x="120" nd="1"/>
        <i x="242" nd="1"/>
        <i x="364" nd="1"/>
        <i x="60" nd="1"/>
        <i x="29" nd="1"/>
        <i x="211" nd="1"/>
        <i x="181" nd="1"/>
        <i x="89" nd="1"/>
        <i x="150" nd="1"/>
        <i x="334" nd="1"/>
        <i x="303" nd="1"/>
        <i x="273" nd="1"/>
        <i x="93" nd="1"/>
        <i x="215" nd="1"/>
        <i x="337" nd="1"/>
        <i x="33" nd="1"/>
        <i x="2" nd="1"/>
        <i x="184" nd="1"/>
        <i x="154" nd="1"/>
        <i x="62" nd="1"/>
        <i x="123" nd="1"/>
        <i x="307" nd="1"/>
        <i x="276" nd="1"/>
        <i x="246" nd="1"/>
        <i x="121" nd="1"/>
        <i x="243" nd="1"/>
        <i x="365" nd="1"/>
        <i x="30" nd="1"/>
        <i x="212" nd="1"/>
        <i x="182" nd="1"/>
        <i x="90" nd="1"/>
        <i x="151" nd="1"/>
        <i x="335" nd="1"/>
        <i x="304" nd="1"/>
        <i x="274" nd="1"/>
        <i x="244" nd="1"/>
        <i x="366" nd="1"/>
        <i x="31" nd="1"/>
        <i x="213" nd="1"/>
        <i x="91" nd="1"/>
        <i x="152" nd="1"/>
        <i x="305" nd="1"/>
        <i x="94" nd="1"/>
        <i x="216" nd="1"/>
        <i x="338" nd="1"/>
        <i x="34" nd="1"/>
        <i x="3" nd="1"/>
        <i x="185" nd="1"/>
        <i x="155" nd="1"/>
        <i x="63" nd="1"/>
        <i x="124" nd="1"/>
        <i x="308" nd="1"/>
        <i x="277" nd="1"/>
        <i x="247" nd="1"/>
        <i x="95" nd="1"/>
        <i x="217" nd="1"/>
        <i x="339" nd="1"/>
        <i x="35" nd="1"/>
        <i x="4" nd="1"/>
        <i x="186" nd="1"/>
        <i x="156" nd="1"/>
        <i x="64" nd="1"/>
        <i x="125" nd="1"/>
        <i x="309" nd="1"/>
        <i x="278" nd="1"/>
        <i x="248" nd="1"/>
        <i x="96" nd="1"/>
        <i x="218" nd="1"/>
        <i x="340" nd="1"/>
        <i x="187" nd="1"/>
        <i x="157" nd="1"/>
        <i x="65" nd="1"/>
        <i x="126" nd="1"/>
        <i x="310" nd="1"/>
        <i x="279" nd="1"/>
        <i x="249" nd="1"/>
        <i x="97" nd="1"/>
        <i x="219" nd="1"/>
        <i x="341" nd="1"/>
        <i x="37" nd="1"/>
        <i x="6" nd="1"/>
        <i x="188" nd="1"/>
        <i x="158" nd="1"/>
        <i x="66" nd="1"/>
        <i x="127" nd="1"/>
        <i x="311" nd="1"/>
        <i x="280" nd="1"/>
        <i x="250" nd="1"/>
        <i x="98" nd="1"/>
        <i x="220" nd="1"/>
        <i x="342" nd="1"/>
        <i x="38" nd="1"/>
        <i x="7" nd="1"/>
        <i x="189" nd="1"/>
        <i x="159" nd="1"/>
        <i x="67" nd="1"/>
        <i x="128" nd="1"/>
        <i x="312" nd="1"/>
        <i x="281" nd="1"/>
        <i x="251" nd="1"/>
        <i x="99" nd="1"/>
        <i x="221" nd="1"/>
        <i x="343" nd="1"/>
        <i x="39" nd="1"/>
        <i x="8" nd="1"/>
        <i x="190" nd="1"/>
        <i x="160" nd="1"/>
        <i x="68" nd="1"/>
        <i x="129" nd="1"/>
        <i x="313" nd="1"/>
        <i x="282" nd="1"/>
        <i x="252" nd="1"/>
        <i x="100" nd="1"/>
        <i x="222" nd="1"/>
        <i x="344" nd="1"/>
        <i x="40" nd="1"/>
        <i x="9" nd="1"/>
        <i x="191" nd="1"/>
        <i x="161" nd="1"/>
        <i x="69" nd="1"/>
        <i x="130" nd="1"/>
        <i x="314" nd="1"/>
        <i x="283" nd="1"/>
        <i x="25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86678A1-619D-45DB-A250-805B103FB454}" sourceName="City">
  <pivotTables>
    <pivotTable tabId="8" name="Pivot_KPI"/>
    <pivotTable tabId="2" name="PivotTable2"/>
    <pivotTable tabId="2" name="PivotTable3"/>
    <pivotTable tabId="2" name="PivotTable4"/>
    <pivotTable tabId="2" name="PivotTable1"/>
  </pivotTables>
  <data>
    <tabular pivotCacheId="9485908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0EB396C-8B6C-4C89-87B4-A4C8C073887F}" cache="Slicer_Category" caption="Category" style="SlicerStyleLight5" rowHeight="234950"/>
  <slicer name="Order Date" xr10:uid="{7D678414-7840-4794-AE3E-6509B2D0D719}" cache="Slicer_Order_Date" caption="Order Date" columnCount="2" style="SlicerStyleLight5" rowHeight="234950"/>
  <slicer name="City" xr10:uid="{D8F8C08C-6E31-4EFA-A18D-D653F51C9C4B}" cache="Slicer_City1" caption="Cit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B8CA9-08CB-4DC8-AE12-6590B017A01B}" name="Sales_Data" displayName="Sales_Data" ref="A1:K9" totalsRowShown="0" headerRowDxfId="15" dataDxfId="13" headerRowBorderDxfId="14" tableBorderDxfId="12" totalsRowBorderDxfId="11">
  <autoFilter ref="A1:K9" xr:uid="{22247ADB-FCF8-4959-9D25-E0BC5FCDD5EC}"/>
  <tableColumns count="11">
    <tableColumn id="1" xr3:uid="{82C6B679-B44E-48E5-BCB0-64905B6C111D}" name="Order Id" dataDxfId="10"/>
    <tableColumn id="2" xr3:uid="{7B3FA825-2215-4012-B7F3-453CE04E3A89}" name="Order Date" dataDxfId="9"/>
    <tableColumn id="3" xr3:uid="{D1A5B802-8D97-4C48-A1F7-FF28E6773C9D}" name="City" dataDxfId="8"/>
    <tableColumn id="4" xr3:uid="{D8E71257-C857-45E0-94BF-33031090ED74}" name="Category" dataDxfId="7"/>
    <tableColumn id="5" xr3:uid="{4028AB58-5996-42D7-AFFA-905F8A341FC0}" name="Product" dataDxfId="6"/>
    <tableColumn id="6" xr3:uid="{13EA121C-867D-4573-9E25-6F7C39D5E8E8}" name="Sales" dataDxfId="5"/>
    <tableColumn id="7" xr3:uid="{E85D3F28-690C-4D58-86C7-EA3D74CFD2E1}" name="Quantity" dataDxfId="4"/>
    <tableColumn id="8" xr3:uid="{54F6C2EE-50AC-47D0-AFF6-FC34FB7F7A10}" name="Discount" dataDxfId="3" dataCellStyle="Percent"/>
    <tableColumn id="9" xr3:uid="{69BD7FFE-B266-4A2F-8F43-30C4066E819B}" name="Cost" dataDxfId="2"/>
    <tableColumn id="14" xr3:uid="{2B3DB315-6E8E-4B37-9171-92A2D7041CF5}" name="Profit" dataDxfId="1">
      <calculatedColumnFormula>F2-I2</calculatedColumnFormula>
    </tableColumn>
    <tableColumn id="15" xr3:uid="{6993DE45-F98F-471C-9616-E67ABAA1F794}" name="Discount2" dataDxfId="0">
      <calculatedColumnFormula>IF(H2&gt;10%,"High","Low")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B414-0091-4668-8177-A2E0A56BE415}">
  <dimension ref="C2:D24"/>
  <sheetViews>
    <sheetView workbookViewId="0">
      <selection activeCell="J25" sqref="J25"/>
    </sheetView>
  </sheetViews>
  <sheetFormatPr defaultRowHeight="14.4" x14ac:dyDescent="0.3"/>
  <cols>
    <col min="1" max="1" width="12.5546875" bestFit="1" customWidth="1"/>
    <col min="2" max="2" width="11.6640625" bestFit="1" customWidth="1"/>
    <col min="3" max="3" width="12.5546875" bestFit="1" customWidth="1"/>
    <col min="4" max="4" width="11.6640625" bestFit="1" customWidth="1"/>
  </cols>
  <sheetData>
    <row r="2" spans="3:4" x14ac:dyDescent="0.3">
      <c r="C2" s="18" t="s">
        <v>25</v>
      </c>
      <c r="D2" t="s">
        <v>27</v>
      </c>
    </row>
    <row r="3" spans="3:4" x14ac:dyDescent="0.3">
      <c r="C3" s="19" t="s">
        <v>13</v>
      </c>
      <c r="D3" s="20">
        <v>3000</v>
      </c>
    </row>
    <row r="4" spans="3:4" x14ac:dyDescent="0.3">
      <c r="C4" s="19" t="s">
        <v>26</v>
      </c>
      <c r="D4" s="20">
        <v>3000</v>
      </c>
    </row>
    <row r="9" spans="3:4" x14ac:dyDescent="0.3">
      <c r="C9" s="18" t="s">
        <v>25</v>
      </c>
      <c r="D9" t="s">
        <v>28</v>
      </c>
    </row>
    <row r="10" spans="3:4" x14ac:dyDescent="0.3">
      <c r="C10" s="19" t="s">
        <v>15</v>
      </c>
      <c r="D10" s="20">
        <v>1200</v>
      </c>
    </row>
    <row r="11" spans="3:4" x14ac:dyDescent="0.3">
      <c r="C11" s="19" t="s">
        <v>26</v>
      </c>
      <c r="D11" s="20">
        <v>1200</v>
      </c>
    </row>
    <row r="16" spans="3:4" x14ac:dyDescent="0.3">
      <c r="C16" s="18" t="s">
        <v>25</v>
      </c>
      <c r="D16" t="s">
        <v>27</v>
      </c>
    </row>
    <row r="17" spans="3:4" x14ac:dyDescent="0.3">
      <c r="C17" s="19" t="s">
        <v>29</v>
      </c>
      <c r="D17" s="20">
        <v>3000</v>
      </c>
    </row>
    <row r="18" spans="3:4" x14ac:dyDescent="0.3">
      <c r="C18" s="19" t="s">
        <v>26</v>
      </c>
      <c r="D18" s="20">
        <v>3000</v>
      </c>
    </row>
    <row r="22" spans="3:4" x14ac:dyDescent="0.3">
      <c r="C22" s="18" t="s">
        <v>25</v>
      </c>
      <c r="D22" t="s">
        <v>27</v>
      </c>
    </row>
    <row r="23" spans="3:4" x14ac:dyDescent="0.3">
      <c r="C23" s="19" t="s">
        <v>18</v>
      </c>
      <c r="D23" s="20">
        <v>3000</v>
      </c>
    </row>
    <row r="24" spans="3:4" x14ac:dyDescent="0.3">
      <c r="C24" s="19" t="s">
        <v>26</v>
      </c>
      <c r="D24" s="20">
        <v>3000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2CDB-D006-4A48-A80E-53ED8D938351}">
  <sheetPr>
    <tabColor theme="0" tint="-0.14999847407452621"/>
  </sheetPr>
  <dimension ref="D1:T32"/>
  <sheetViews>
    <sheetView showGridLines="0" tabSelected="1" zoomScaleNormal="100" workbookViewId="0">
      <selection activeCell="E34" sqref="E34"/>
    </sheetView>
  </sheetViews>
  <sheetFormatPr defaultRowHeight="14.4" x14ac:dyDescent="0.3"/>
  <cols>
    <col min="12" max="12" width="9.109375" customWidth="1"/>
  </cols>
  <sheetData>
    <row r="1" spans="4:19" ht="28.8" customHeight="1" x14ac:dyDescent="0.55000000000000004">
      <c r="H1" s="28" t="s">
        <v>30</v>
      </c>
      <c r="I1" s="28"/>
      <c r="J1" s="28"/>
      <c r="K1" s="28"/>
      <c r="L1" s="28"/>
      <c r="M1" s="28"/>
      <c r="N1" s="28"/>
      <c r="O1" s="28"/>
      <c r="P1" s="21"/>
    </row>
    <row r="2" spans="4:19" ht="14.4" customHeight="1" x14ac:dyDescent="0.55000000000000004">
      <c r="H2" s="21"/>
      <c r="I2" s="21"/>
      <c r="O2" s="21"/>
      <c r="P2" s="21"/>
    </row>
    <row r="3" spans="4:19" ht="14.4" customHeight="1" x14ac:dyDescent="0.55000000000000004">
      <c r="G3" s="23"/>
      <c r="H3" s="21"/>
      <c r="I3" s="21"/>
      <c r="J3" s="29" t="s">
        <v>33</v>
      </c>
      <c r="K3" s="29"/>
      <c r="L3" s="29"/>
      <c r="M3" s="29"/>
      <c r="N3" s="29"/>
      <c r="O3" s="21"/>
      <c r="P3" s="21"/>
    </row>
    <row r="4" spans="4:19" ht="14.4" customHeight="1" x14ac:dyDescent="0.3"/>
    <row r="6" spans="4:19" x14ac:dyDescent="0.3">
      <c r="E6" t="s">
        <v>32</v>
      </c>
      <c r="N6" t="s">
        <v>32</v>
      </c>
      <c r="O6" s="23"/>
    </row>
    <row r="7" spans="4:19" x14ac:dyDescent="0.3">
      <c r="H7" t="s">
        <v>34</v>
      </c>
      <c r="S7" t="s">
        <v>32</v>
      </c>
    </row>
    <row r="8" spans="4:19" x14ac:dyDescent="0.3">
      <c r="O8" s="23"/>
    </row>
    <row r="9" spans="4:19" x14ac:dyDescent="0.3">
      <c r="D9" t="s">
        <v>32</v>
      </c>
    </row>
    <row r="11" spans="4:19" ht="18" x14ac:dyDescent="0.35">
      <c r="J11" s="22"/>
    </row>
    <row r="23" spans="4:20" x14ac:dyDescent="0.3">
      <c r="L23" t="s">
        <v>31</v>
      </c>
    </row>
    <row r="32" spans="4:20" ht="18" x14ac:dyDescent="0.35">
      <c r="D32" s="27" t="s">
        <v>36</v>
      </c>
      <c r="E32" s="27"/>
      <c r="F32" s="27"/>
      <c r="G32" s="27"/>
      <c r="H32" s="27"/>
      <c r="I32" s="27"/>
      <c r="J32" s="27"/>
      <c r="K32" s="27"/>
      <c r="L32" s="27"/>
      <c r="M32" s="27"/>
      <c r="N32" s="27"/>
      <c r="O32" s="27"/>
      <c r="P32" s="27"/>
      <c r="Q32" s="27"/>
      <c r="R32" s="27"/>
      <c r="S32" s="27"/>
      <c r="T32" s="27"/>
    </row>
  </sheetData>
  <mergeCells count="3">
    <mergeCell ref="D32:T32"/>
    <mergeCell ref="H1:O1"/>
    <mergeCell ref="J3:N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CFF8-54B6-47BC-A1FD-CB96AF28CDF9}">
  <dimension ref="A3:C4"/>
  <sheetViews>
    <sheetView workbookViewId="0">
      <selection activeCell="C34" sqref="C34"/>
    </sheetView>
  </sheetViews>
  <sheetFormatPr defaultRowHeight="14.4" x14ac:dyDescent="0.3"/>
  <cols>
    <col min="1" max="1" width="11.6640625" bestFit="1" customWidth="1"/>
    <col min="2" max="2" width="12.109375" bestFit="1" customWidth="1"/>
    <col min="3" max="3" width="15.77734375" bestFit="1" customWidth="1"/>
  </cols>
  <sheetData>
    <row r="3" spans="1:3" x14ac:dyDescent="0.3">
      <c r="A3" s="24" t="s">
        <v>27</v>
      </c>
      <c r="B3" s="24" t="s">
        <v>28</v>
      </c>
      <c r="C3" s="24" t="s">
        <v>35</v>
      </c>
    </row>
    <row r="4" spans="1:3" x14ac:dyDescent="0.3">
      <c r="A4" s="25">
        <v>16500</v>
      </c>
      <c r="B4" s="25">
        <v>6800</v>
      </c>
      <c r="C4" s="26">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1466-D856-45EA-9AEA-75531A396A96}">
  <dimension ref="A1:K9"/>
  <sheetViews>
    <sheetView workbookViewId="0">
      <selection activeCell="E18" sqref="E18"/>
    </sheetView>
  </sheetViews>
  <sheetFormatPr defaultRowHeight="14.4" x14ac:dyDescent="0.3"/>
  <cols>
    <col min="1" max="1" width="9.77734375" customWidth="1"/>
    <col min="2" max="2" width="12" customWidth="1"/>
    <col min="3" max="3" width="9.21875" bestFit="1" customWidth="1"/>
    <col min="4" max="4" width="10.44140625" customWidth="1"/>
    <col min="5" max="5" width="11.109375" bestFit="1" customWidth="1"/>
    <col min="6" max="6" width="7.109375" customWidth="1"/>
    <col min="7" max="7" width="10.21875" customWidth="1"/>
    <col min="8" max="8" width="10.21875" style="17" customWidth="1"/>
    <col min="9" max="9" width="6.5546875" customWidth="1"/>
  </cols>
  <sheetData>
    <row r="1" spans="1:11" x14ac:dyDescent="0.3">
      <c r="A1" s="6" t="s">
        <v>0</v>
      </c>
      <c r="B1" s="7" t="s">
        <v>1</v>
      </c>
      <c r="C1" s="7" t="s">
        <v>2</v>
      </c>
      <c r="D1" s="7" t="s">
        <v>3</v>
      </c>
      <c r="E1" s="7" t="s">
        <v>4</v>
      </c>
      <c r="F1" s="7" t="s">
        <v>5</v>
      </c>
      <c r="G1" s="7" t="s">
        <v>6</v>
      </c>
      <c r="H1" s="14" t="s">
        <v>7</v>
      </c>
      <c r="I1" s="8" t="s">
        <v>8</v>
      </c>
      <c r="J1" s="7" t="s">
        <v>23</v>
      </c>
      <c r="K1" s="7" t="s">
        <v>24</v>
      </c>
    </row>
    <row r="2" spans="1:11" x14ac:dyDescent="0.3">
      <c r="A2" s="4">
        <v>1001</v>
      </c>
      <c r="B2" s="3">
        <v>46023</v>
      </c>
      <c r="C2" s="2" t="s">
        <v>9</v>
      </c>
      <c r="D2" s="2" t="s">
        <v>10</v>
      </c>
      <c r="E2" s="2" t="s">
        <v>11</v>
      </c>
      <c r="F2" s="2">
        <v>2000</v>
      </c>
      <c r="G2" s="2">
        <v>2</v>
      </c>
      <c r="H2" s="15">
        <v>0.1</v>
      </c>
      <c r="I2" s="5">
        <v>1200</v>
      </c>
      <c r="J2" s="13">
        <f t="shared" ref="J2:J9" si="0">F2-I2</f>
        <v>800</v>
      </c>
      <c r="K2" s="1" t="str">
        <f t="shared" ref="K2:K9" si="1">IF(H2&gt;10%,"High","Low")</f>
        <v>Low</v>
      </c>
    </row>
    <row r="3" spans="1:11" x14ac:dyDescent="0.3">
      <c r="A3" s="4">
        <v>1002</v>
      </c>
      <c r="B3" s="3">
        <v>46027</v>
      </c>
      <c r="C3" s="2" t="s">
        <v>12</v>
      </c>
      <c r="D3" s="2" t="s">
        <v>14</v>
      </c>
      <c r="E3" s="2" t="s">
        <v>16</v>
      </c>
      <c r="F3" s="2">
        <v>800</v>
      </c>
      <c r="G3" s="2">
        <v>3</v>
      </c>
      <c r="H3" s="15">
        <v>0.05</v>
      </c>
      <c r="I3" s="5">
        <v>400</v>
      </c>
      <c r="J3" s="2">
        <f t="shared" si="0"/>
        <v>400</v>
      </c>
      <c r="K3" s="1" t="str">
        <f t="shared" si="1"/>
        <v>Low</v>
      </c>
    </row>
    <row r="4" spans="1:11" x14ac:dyDescent="0.3">
      <c r="A4" s="4">
        <v>1003</v>
      </c>
      <c r="B4" s="3">
        <v>46032</v>
      </c>
      <c r="C4" s="2" t="s">
        <v>9</v>
      </c>
      <c r="D4" s="2" t="s">
        <v>10</v>
      </c>
      <c r="E4" s="2" t="s">
        <v>17</v>
      </c>
      <c r="F4" s="2">
        <v>500</v>
      </c>
      <c r="G4" s="2">
        <v>2</v>
      </c>
      <c r="H4" s="15">
        <v>0.15</v>
      </c>
      <c r="I4" s="5">
        <v>200</v>
      </c>
      <c r="J4" s="2">
        <f t="shared" si="0"/>
        <v>300</v>
      </c>
      <c r="K4" s="1" t="str">
        <f t="shared" si="1"/>
        <v>High</v>
      </c>
    </row>
    <row r="5" spans="1:11" x14ac:dyDescent="0.3">
      <c r="A5" s="4">
        <v>1004</v>
      </c>
      <c r="B5" s="3">
        <v>46037</v>
      </c>
      <c r="C5" s="2" t="s">
        <v>13</v>
      </c>
      <c r="D5" s="2" t="s">
        <v>15</v>
      </c>
      <c r="E5" s="2" t="s">
        <v>18</v>
      </c>
      <c r="F5" s="2">
        <v>3000</v>
      </c>
      <c r="G5" s="2">
        <v>1</v>
      </c>
      <c r="H5" s="15">
        <v>0.2</v>
      </c>
      <c r="I5" s="5">
        <v>1800</v>
      </c>
      <c r="J5" s="2">
        <f t="shared" si="0"/>
        <v>1200</v>
      </c>
      <c r="K5" s="1" t="str">
        <f t="shared" si="1"/>
        <v>High</v>
      </c>
    </row>
    <row r="6" spans="1:11" x14ac:dyDescent="0.3">
      <c r="A6" s="4">
        <v>1005</v>
      </c>
      <c r="B6" s="3">
        <v>46042</v>
      </c>
      <c r="C6" s="2" t="s">
        <v>12</v>
      </c>
      <c r="D6" s="2" t="s">
        <v>14</v>
      </c>
      <c r="E6" s="2" t="s">
        <v>19</v>
      </c>
      <c r="F6" s="2">
        <v>1500</v>
      </c>
      <c r="G6" s="2">
        <v>2</v>
      </c>
      <c r="H6" s="15">
        <v>0.1</v>
      </c>
      <c r="I6" s="5">
        <v>900</v>
      </c>
      <c r="J6" s="2">
        <f t="shared" si="0"/>
        <v>600</v>
      </c>
      <c r="K6" s="1" t="str">
        <f t="shared" si="1"/>
        <v>Low</v>
      </c>
    </row>
    <row r="7" spans="1:11" x14ac:dyDescent="0.3">
      <c r="A7" s="4">
        <v>1006</v>
      </c>
      <c r="B7" s="3">
        <v>46054</v>
      </c>
      <c r="C7" s="2" t="s">
        <v>9</v>
      </c>
      <c r="D7" s="2" t="s">
        <v>10</v>
      </c>
      <c r="E7" s="2" t="s">
        <v>20</v>
      </c>
      <c r="F7" s="2">
        <v>1200</v>
      </c>
      <c r="G7" s="2">
        <v>2</v>
      </c>
      <c r="H7" s="15">
        <v>0.05</v>
      </c>
      <c r="I7" s="5">
        <v>700</v>
      </c>
      <c r="J7" s="2">
        <f t="shared" si="0"/>
        <v>500</v>
      </c>
      <c r="K7" s="1" t="str">
        <f t="shared" si="1"/>
        <v>Low</v>
      </c>
    </row>
    <row r="8" spans="1:11" x14ac:dyDescent="0.3">
      <c r="A8" s="4">
        <v>1007</v>
      </c>
      <c r="B8" s="3">
        <v>46058</v>
      </c>
      <c r="C8" s="2" t="s">
        <v>13</v>
      </c>
      <c r="D8" s="2" t="s">
        <v>15</v>
      </c>
      <c r="E8" s="2" t="s">
        <v>21</v>
      </c>
      <c r="F8" s="2">
        <v>5000</v>
      </c>
      <c r="G8" s="2">
        <v>1</v>
      </c>
      <c r="H8" s="15">
        <v>0.25</v>
      </c>
      <c r="I8" s="5">
        <v>3000</v>
      </c>
      <c r="J8" s="2">
        <f t="shared" si="0"/>
        <v>2000</v>
      </c>
      <c r="K8" s="1" t="str">
        <f t="shared" si="1"/>
        <v>High</v>
      </c>
    </row>
    <row r="9" spans="1:11" x14ac:dyDescent="0.3">
      <c r="A9" s="9">
        <v>1008</v>
      </c>
      <c r="B9" s="10">
        <v>46063</v>
      </c>
      <c r="C9" s="11" t="s">
        <v>12</v>
      </c>
      <c r="D9" s="11" t="s">
        <v>14</v>
      </c>
      <c r="E9" s="11" t="s">
        <v>22</v>
      </c>
      <c r="F9" s="11">
        <v>2500</v>
      </c>
      <c r="G9" s="11">
        <v>1</v>
      </c>
      <c r="H9" s="16">
        <v>0.15</v>
      </c>
      <c r="I9" s="12">
        <v>1500</v>
      </c>
      <c r="J9" s="11">
        <f t="shared" si="0"/>
        <v>1000</v>
      </c>
      <c r="K9" s="1" t="str">
        <f t="shared" si="1"/>
        <v>High</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Sheet6</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2026-03-19T13:16:54Z</dcterms:created>
  <dcterms:modified xsi:type="dcterms:W3CDTF">2026-08-06T22:29:58Z</dcterms:modified>
</cp:coreProperties>
</file>